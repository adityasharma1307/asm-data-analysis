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m1 BMI Test" sheetId="2" state="visible" r:id="rId4"/>
    <sheet name="Asm2A Regression" sheetId="3" state="visible" r:id="rId5"/>
    <sheet name="Asm2B ANOVA + L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<sst xmlns="http://schemas.openxmlformats.org/spreadsheetml/2006/main" count="149" uniqueCount="108">
  <si>
    <t xml:space="preserve">MATH F432 -- Applied Statistical Methods</t>
  </si>
  <si>
    <t xml:space="preserve">Assignment 1 (BMI t-test) + Assignment 2 (Regression, ANOVA, Classification)</t>
  </si>
  <si>
    <t xml:space="preserve">Asm1: BMI t-test p-value</t>
  </si>
  <si>
    <t xml:space="preserve">Asm2A: Regression R²</t>
  </si>
  <si>
    <t xml:space="preserve">Asm2B: ANOVA effect size (η²)</t>
  </si>
  <si>
    <t xml:space="preserve">Asm2B: LDA test accuracy</t>
  </si>
  <si>
    <t xml:space="preserve">&lt; 0.001</t>
  </si>
  <si>
    <t xml:space="preserve">0.903</t>
  </si>
  <si>
    <t xml:space="preserve">0.941</t>
  </si>
  <si>
    <t xml:space="preserve">97.8%</t>
  </si>
  <si>
    <t xml:space="preserve">Asm1 -- BMI One-Sample t-Test</t>
  </si>
  <si>
    <t xml:space="preserve">Asm2A -- Regression Coefficients</t>
  </si>
  <si>
    <t xml:space="preserve">Metric</t>
  </si>
  <si>
    <t xml:space="preserve">Value</t>
  </si>
  <si>
    <t xml:space="preserve">Predictor</t>
  </si>
  <si>
    <t xml:space="preserve">Coefficient</t>
  </si>
  <si>
    <t xml:space="preserve">p-value</t>
  </si>
  <si>
    <t xml:space="preserve">Sample mean BMI</t>
  </si>
  <si>
    <t xml:space="preserve">Intercept</t>
  </si>
  <si>
    <t xml:space="preserve">Hypothesized mean (H0)</t>
  </si>
  <si>
    <t xml:space="preserve">TV</t>
  </si>
  <si>
    <t xml:space="preserve">t-statistic</t>
  </si>
  <si>
    <t xml:space="preserve">Radio</t>
  </si>
  <si>
    <t xml:space="preserve">Critical value (±)</t>
  </si>
  <si>
    <t xml:space="preserve">Newspaper</t>
  </si>
  <si>
    <t xml:space="preserve">95% CI lower</t>
  </si>
  <si>
    <t xml:space="preserve">95% CI upper</t>
  </si>
  <si>
    <t xml:space="preserve">Cohen's d (effect size)</t>
  </si>
  <si>
    <t xml:space="preserve">Wilcoxon p-value</t>
  </si>
  <si>
    <t xml:space="preserve">Asm2B -- Petal Length by Species (ANOVA)</t>
  </si>
  <si>
    <t xml:space="preserve">Asm2B -- LDA Classification Report</t>
  </si>
  <si>
    <t xml:space="preserve">Species</t>
  </si>
  <si>
    <t xml:space="preserve">Mean Petal Length</t>
  </si>
  <si>
    <t xml:space="preserve">Std. Dev.</t>
  </si>
  <si>
    <t xml:space="preserve">Precision</t>
  </si>
  <si>
    <t xml:space="preserve">Recall</t>
  </si>
  <si>
    <t xml:space="preserve">F1</t>
  </si>
  <si>
    <t xml:space="preserve">setosa</t>
  </si>
  <si>
    <t xml:space="preserve">versicolor</t>
  </si>
  <si>
    <t xml:space="preserve">virginica</t>
  </si>
  <si>
    <t xml:space="preserve">Symbol</t>
  </si>
  <si>
    <t xml:space="preserve">Sample size</t>
  </si>
  <si>
    <t xml:space="preserve">n</t>
  </si>
  <si>
    <t xml:space="preserve">x̄</t>
  </si>
  <si>
    <t xml:space="preserve">Sample std. dev.</t>
  </si>
  <si>
    <t xml:space="preserve">s</t>
  </si>
  <si>
    <t xml:space="preserve">Hypothesized mean</t>
  </si>
  <si>
    <t xml:space="preserve">μ0</t>
  </si>
  <si>
    <t xml:space="preserve">Standard error</t>
  </si>
  <si>
    <t xml:space="preserve">SE</t>
  </si>
  <si>
    <t xml:space="preserve">Degrees of freedom</t>
  </si>
  <si>
    <t xml:space="preserve">df</t>
  </si>
  <si>
    <t xml:space="preserve">t</t>
  </si>
  <si>
    <t xml:space="preserve">Critical value (two-tailed, α=0.05)</t>
  </si>
  <si>
    <t xml:space="preserve">t*</t>
  </si>
  <si>
    <t xml:space="preserve">Margin of error</t>
  </si>
  <si>
    <t xml:space="preserve">ME</t>
  </si>
  <si>
    <t xml:space="preserve">Decision</t>
  </si>
  <si>
    <t xml:space="preserve">Reject H0</t>
  </si>
  <si>
    <t xml:space="preserve">Shapiro-Wilk statistic</t>
  </si>
  <si>
    <t xml:space="preserve">W</t>
  </si>
  <si>
    <t xml:space="preserve">Shapiro-Wilk p-value</t>
  </si>
  <si>
    <t xml:space="preserve">p</t>
  </si>
  <si>
    <t xml:space="preserve">5.24e-06</t>
  </si>
  <si>
    <t xml:space="preserve">Cohen's d</t>
  </si>
  <si>
    <t xml:space="preserve">d</t>
  </si>
  <si>
    <t xml:space="preserve">Wilcoxon signed-rank p-value</t>
  </si>
  <si>
    <t xml:space="preserve">3.60e-04</t>
  </si>
  <si>
    <t xml:space="preserve">Bootstrap 95% CI lower</t>
  </si>
  <si>
    <t xml:space="preserve">Bootstrap 95% CI upper</t>
  </si>
  <si>
    <t xml:space="preserve">Std. Error</t>
  </si>
  <si>
    <t xml:space="preserve">95% CI</t>
  </si>
  <si>
    <t xml:space="preserve">(4.019, 5.232)</t>
  </si>
  <si>
    <t xml:space="preserve">(0.052, 0.057)</t>
  </si>
  <si>
    <t xml:space="preserve">(0.090, 0.124)</t>
  </si>
  <si>
    <t xml:space="preserve">(-0.011, 0.012)</t>
  </si>
  <si>
    <t xml:space="preserve">Model fit / diagnostics</t>
  </si>
  <si>
    <t xml:space="preserve">R-squared</t>
  </si>
  <si>
    <t xml:space="preserve">Adjusted R-squared</t>
  </si>
  <si>
    <t xml:space="preserve">F-statistic (3, 196)</t>
  </si>
  <si>
    <t xml:space="preserve">F-test p-value</t>
  </si>
  <si>
    <t xml:space="preserve">8.13e-99</t>
  </si>
  <si>
    <t xml:space="preserve">VIF: TV</t>
  </si>
  <si>
    <t xml:space="preserve">VIF: Radio</t>
  </si>
  <si>
    <t xml:space="preserve">VIF: Newspaper</t>
  </si>
  <si>
    <t xml:space="preserve">Shapiro-Wilk on residuals (p)</t>
  </si>
  <si>
    <t xml:space="preserve">Breusch-Pagan (p)</t>
  </si>
  <si>
    <t xml:space="preserve">ANOVA &amp; robustness checks</t>
  </si>
  <si>
    <t xml:space="preserve">Test</t>
  </si>
  <si>
    <t xml:space="preserve">Statistic</t>
  </si>
  <si>
    <t xml:space="preserve">Conclusion</t>
  </si>
  <si>
    <t xml:space="preserve">Classical one-way ANOVA</t>
  </si>
  <si>
    <t xml:space="preserve">F(2,147)=1179.03</t>
  </si>
  <si>
    <t xml:space="preserve">3.05e-91</t>
  </si>
  <si>
    <t xml:space="preserve">Welch's ANOVA (unequal var.)</t>
  </si>
  <si>
    <t xml:space="preserve">F(2,78.05)=1826.58</t>
  </si>
  <si>
    <t xml:space="preserve">2.85e-66</t>
  </si>
  <si>
    <t xml:space="preserve">Kruskal-Wallis (non-parametric)</t>
  </si>
  <si>
    <t xml:space="preserve">H=130.41</t>
  </si>
  <si>
    <t xml:space="preserve">4.80e-29</t>
  </si>
  <si>
    <t xml:space="preserve">Levene's test (equal variances)</t>
  </si>
  <si>
    <t xml:space="preserve">stat=19.72</t>
  </si>
  <si>
    <t xml:space="preserve">2.59e-08</t>
  </si>
  <si>
    <t xml:space="preserve">Variances differ</t>
  </si>
  <si>
    <t xml:space="preserve">Eta-squared (effect size): 0.941</t>
  </si>
  <si>
    <t xml:space="preserve">LDA classification report (test accuracy = 97.8%)</t>
  </si>
  <si>
    <t xml:space="preserve">F1-score</t>
  </si>
  <si>
    <t xml:space="preserve">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</si>
</sst>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565C0"/>
      <name val="Calibri"/>
      <family val="0"/>
      <charset val="1"/>
    </font>
    <font>
      <b val="true"/>
      <sz val="16"/>
      <color rgb="FF1B5E20"/>
      <name val="Calibri"/>
      <family val="0"/>
      <charset val="1"/>
    </font>
    <font>
      <b val="true"/>
      <sz val="16"/>
      <color rgb="FFB45309"/>
      <name val="Calibri"/>
      <family val="0"/>
      <charset val="1"/>
    </font>
    <font>
      <b val="true"/>
      <sz val="16"/>
      <color rgb="FF6D28D9"/>
      <name val="Calibri"/>
      <family val="0"/>
      <charset val="1"/>
    </font>
    <font>
      <b val="true"/>
      <sz val="12"/>
      <color rgb="FF1F293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0"/>
      <charset val="1"/>
    </font>
    <font>
      <i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008080"/>
      </patternFill>
    </fill>
    <fill>
      <patternFill patternType="solid">
        <fgColor rgb="FF1B5E20"/>
        <bgColor rgb="FF333300"/>
      </patternFill>
    </fill>
    <fill>
      <patternFill patternType="solid">
        <fgColor rgb="FFB45309"/>
        <bgColor rgb="FF993366"/>
      </patternFill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6D28D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BMI: Sample Mean vs. Hypothesized Mean (with 95% 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Dashboard!$B$12:$B$13</c:f>
              <c:strCache>
                <c:ptCount val="2"/>
                <c:pt idx="0">
                  <c:v>Sample mean BMI</c:v>
                </c:pt>
                <c:pt idx="1">
                  <c:v>Hypothesized mean (H0)</c:v>
                </c:pt>
              </c:strCache>
            </c:strRef>
          </c:cat>
          <c:val>
            <c:numRef>
              <c:f>Dashboard!$C$12:$C$13</c:f>
              <c:numCache>
                <c:formatCode>General</c:formatCode>
                <c:ptCount val="2"/>
                <c:pt idx="0">
                  <c:v>30.47</c:v>
                </c:pt>
                <c:pt idx="1">
                  <c:v>28.5</c:v>
                </c:pt>
              </c:numCache>
            </c:numRef>
          </c:val>
        </c:ser>
        <c:gapWidth val="150"/>
        <c:overlap val="0"/>
        <c:axId val="729288"/>
        <c:axId val="27344068"/>
      </c:barChart>
      <c:catAx>
        <c:axId val="72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44068"/>
        <c:crosses val="autoZero"/>
        <c:auto val="1"/>
        <c:lblAlgn val="ctr"/>
        <c:lblOffset val="100"/>
        <c:noMultiLvlLbl val="0"/>
      </c:catAx>
      <c:valAx>
        <c:axId val="27344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BMI (kg/m²)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9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Regression Coefficients (Sales ~ TV + Radio + Newspaper)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Dashboard!$G$12:$G$15</c:f>
              <c:strCache>
                <c:ptCount val="4"/>
                <c:pt idx="0">
                  <c:v>Intercept</c:v>
                </c:pt>
                <c:pt idx="1">
                  <c:v>TV</c:v>
                </c:pt>
                <c:pt idx="2">
                  <c:v>Radio</c:v>
                </c:pt>
                <c:pt idx="3">
                  <c:v>Newspaper</c:v>
                </c:pt>
              </c:strCache>
            </c:strRef>
          </c:cat>
          <c:val>
            <c:numRef>
              <c:f>Dashboard!$H$12:$H$15</c:f>
              <c:numCache>
                <c:formatCode>General</c:formatCode>
                <c:ptCount val="4"/>
                <c:pt idx="0">
                  <c:v>4.6251</c:v>
                </c:pt>
                <c:pt idx="1">
                  <c:v>0.0544</c:v>
                </c:pt>
                <c:pt idx="2">
                  <c:v>0.107</c:v>
                </c:pt>
                <c:pt idx="3">
                  <c:v>0.0003</c:v>
                </c:pt>
              </c:numCache>
            </c:numRef>
          </c:val>
        </c:ser>
        <c:gapWidth val="150"/>
        <c:overlap val="0"/>
        <c:axId val="23533321"/>
        <c:axId val="59951987"/>
      </c:barChart>
      <c:catAx>
        <c:axId val="23533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951987"/>
        <c:crosses val="autoZero"/>
        <c:auto val="1"/>
        <c:lblAlgn val="ctr"/>
        <c:lblOffset val="100"/>
        <c:noMultiLvlLbl val="0"/>
      </c:catAx>
      <c:valAx>
        <c:axId val="59951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333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Mean Petal Length by Species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Dashboard!C39</c:f>
              <c:strCache>
                <c:ptCount val="1"/>
                <c:pt idx="0">
                  <c:v>Mean Petal Length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Dashboard!$B$40:$B$42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Dashboard!$C$40:$C$42</c:f>
              <c:numCache>
                <c:formatCode>General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5.552</c:v>
                </c:pt>
              </c:numCache>
            </c:numRef>
          </c:val>
        </c:ser>
        <c:gapWidth val="150"/>
        <c:overlap val="0"/>
        <c:axId val="34322721"/>
        <c:axId val="36923229"/>
      </c:barChart>
      <c:catAx>
        <c:axId val="34322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923229"/>
        <c:crosses val="autoZero"/>
        <c:auto val="1"/>
        <c:lblAlgn val="ctr"/>
        <c:lblOffset val="100"/>
        <c:noMultiLvlLbl val="0"/>
      </c:catAx>
      <c:valAx>
        <c:axId val="36923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Petal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227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LDA per-species F1-score (test accuracy = 97.8%)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Dashboard!J39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Dashboard!$G$40:$G$42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Dashboard!$J$40:$J$42</c:f>
              <c:numCache>
                <c:formatCode>General</c:formatCode>
                <c:ptCount val="3"/>
                <c:pt idx="0">
                  <c:v>1</c:v>
                </c:pt>
                <c:pt idx="1">
                  <c:v>0.97</c:v>
                </c:pt>
                <c:pt idx="2">
                  <c:v>0.97</c:v>
                </c:pt>
              </c:numCache>
            </c:numRef>
          </c:val>
        </c:ser>
        <c:gapWidth val="150"/>
        <c:overlap val="0"/>
        <c:axId val="33854759"/>
        <c:axId val="24622192"/>
      </c:barChart>
      <c:catAx>
        <c:axId val="338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22192"/>
        <c:crosses val="autoZero"/>
        <c:auto val="1"/>
        <c:lblAlgn val="ctr"/>
        <c:lblOffset val="100"/>
        <c:noMultiLvlLbl val="0"/>
      </c:catAx>
      <c:valAx>
        <c:axId val="24622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F1-score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547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3</xdr:col>
      <xdr:colOff>380160</xdr:colOff>
      <xdr:row>35</xdr:row>
      <xdr:rowOff>21960</xdr:rowOff>
    </xdr:to>
    <xdr:graphicFrame>
      <xdr:nvGraphicFramePr>
        <xdr:cNvPr id="1" name="Chart 1"/>
        <xdr:cNvGraphicFramePr/>
      </xdr:nvGraphicFramePr>
      <xdr:xfrm>
        <a:off x="141120" y="3955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11</xdr:col>
      <xdr:colOff>473400</xdr:colOff>
      <xdr:row>35</xdr:row>
      <xdr:rowOff>21960</xdr:rowOff>
    </xdr:to>
    <xdr:graphicFrame>
      <xdr:nvGraphicFramePr>
        <xdr:cNvPr id="2" name="Chart 2"/>
        <xdr:cNvGraphicFramePr/>
      </xdr:nvGraphicFramePr>
      <xdr:xfrm>
        <a:off x="10008720" y="3955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380160</xdr:colOff>
      <xdr:row>63</xdr:row>
      <xdr:rowOff>22320</xdr:rowOff>
    </xdr:to>
    <xdr:graphicFrame>
      <xdr:nvGraphicFramePr>
        <xdr:cNvPr id="3" name="Chart 3"/>
        <xdr:cNvGraphicFramePr/>
      </xdr:nvGraphicFramePr>
      <xdr:xfrm>
        <a:off x="141120" y="9289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11</xdr:col>
      <xdr:colOff>473400</xdr:colOff>
      <xdr:row>63</xdr:row>
      <xdr:rowOff>22320</xdr:rowOff>
    </xdr:to>
    <xdr:graphicFrame>
      <xdr:nvGraphicFramePr>
        <xdr:cNvPr id="4" name="Chart 4"/>
        <xdr:cNvGraphicFramePr/>
      </xdr:nvGraphicFramePr>
      <xdr:xfrm>
        <a:off x="10008720" y="9289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31"/>
    <col collapsed="false" customWidth="true" hidden="false" outlineLevel="0" max="10" min="9" style="0" width="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4" hidden="false" customHeight="true" outlineLevel="0" collapsed="false">
      <c r="B5" s="3" t="s">
        <v>2</v>
      </c>
      <c r="C5" s="3"/>
      <c r="E5" s="4" t="s">
        <v>3</v>
      </c>
      <c r="F5" s="4"/>
      <c r="H5" s="5" t="s">
        <v>4</v>
      </c>
      <c r="I5" s="5"/>
      <c r="K5" s="6" t="s">
        <v>5</v>
      </c>
      <c r="L5" s="6"/>
    </row>
    <row r="6" customFormat="false" ht="15" hidden="false" customHeight="true" outlineLevel="0" collapsed="false">
      <c r="B6" s="7" t="s">
        <v>6</v>
      </c>
      <c r="C6" s="7"/>
      <c r="E6" s="8" t="s">
        <v>7</v>
      </c>
      <c r="F6" s="8"/>
      <c r="H6" s="9" t="s">
        <v>8</v>
      </c>
      <c r="I6" s="9"/>
      <c r="K6" s="10" t="s">
        <v>9</v>
      </c>
      <c r="L6" s="10"/>
    </row>
    <row r="7" customFormat="false" ht="15" hidden="false" customHeight="false" outlineLevel="0" collapsed="false">
      <c r="B7" s="7"/>
      <c r="C7" s="7"/>
      <c r="E7" s="8"/>
      <c r="F7" s="8"/>
      <c r="H7" s="9"/>
      <c r="I7" s="9"/>
      <c r="K7" s="10"/>
      <c r="L7" s="10"/>
    </row>
    <row r="10" customFormat="false" ht="15" hidden="false" customHeight="false" outlineLevel="0" collapsed="false">
      <c r="B10" s="11" t="s">
        <v>10</v>
      </c>
      <c r="G10" s="11" t="s">
        <v>11</v>
      </c>
    </row>
    <row r="11" customFormat="false" ht="15" hidden="false" customHeight="false" outlineLevel="0" collapsed="false">
      <c r="B11" s="12" t="s">
        <v>12</v>
      </c>
      <c r="C11" s="12" t="s">
        <v>13</v>
      </c>
      <c r="G11" s="13" t="s">
        <v>14</v>
      </c>
      <c r="H11" s="13" t="s">
        <v>15</v>
      </c>
      <c r="I11" s="13" t="s">
        <v>16</v>
      </c>
    </row>
    <row r="12" customFormat="false" ht="15" hidden="false" customHeight="false" outlineLevel="0" collapsed="false">
      <c r="B12" s="14" t="s">
        <v>17</v>
      </c>
      <c r="C12" s="15" t="n">
        <v>30.47</v>
      </c>
      <c r="G12" s="14" t="s">
        <v>18</v>
      </c>
      <c r="H12" s="15" t="n">
        <v>4.6251</v>
      </c>
      <c r="I12" s="15" t="n">
        <v>0</v>
      </c>
    </row>
    <row r="13" customFormat="false" ht="15" hidden="false" customHeight="false" outlineLevel="0" collapsed="false">
      <c r="B13" s="14" t="s">
        <v>19</v>
      </c>
      <c r="C13" s="15" t="n">
        <v>28.5</v>
      </c>
      <c r="G13" s="14" t="s">
        <v>20</v>
      </c>
      <c r="H13" s="15" t="n">
        <v>0.0544</v>
      </c>
      <c r="I13" s="15" t="n">
        <v>0</v>
      </c>
    </row>
    <row r="14" customFormat="false" ht="15" hidden="false" customHeight="false" outlineLevel="0" collapsed="false">
      <c r="B14" s="14" t="s">
        <v>21</v>
      </c>
      <c r="C14" s="15" t="n">
        <v>4.503</v>
      </c>
      <c r="G14" s="14" t="s">
        <v>22</v>
      </c>
      <c r="H14" s="15" t="n">
        <v>0.107</v>
      </c>
      <c r="I14" s="15" t="n">
        <v>0</v>
      </c>
    </row>
    <row r="15" customFormat="false" ht="15" hidden="false" customHeight="false" outlineLevel="0" collapsed="false">
      <c r="B15" s="14" t="s">
        <v>23</v>
      </c>
      <c r="C15" s="15" t="n">
        <v>1.971</v>
      </c>
      <c r="G15" s="14" t="s">
        <v>24</v>
      </c>
      <c r="H15" s="15" t="n">
        <v>0.0003</v>
      </c>
      <c r="I15" s="15" t="n">
        <v>0.954</v>
      </c>
    </row>
    <row r="16" customFormat="false" ht="15" hidden="false" customHeight="false" outlineLevel="0" collapsed="false">
      <c r="B16" s="14" t="s">
        <v>25</v>
      </c>
      <c r="C16" s="15" t="n">
        <v>29.61</v>
      </c>
    </row>
    <row r="17" customFormat="false" ht="15" hidden="false" customHeight="false" outlineLevel="0" collapsed="false">
      <c r="B17" s="14" t="s">
        <v>26</v>
      </c>
      <c r="C17" s="15" t="n">
        <v>31.33</v>
      </c>
    </row>
    <row r="18" customFormat="false" ht="15" hidden="false" customHeight="false" outlineLevel="0" collapsed="false">
      <c r="B18" s="14" t="s">
        <v>27</v>
      </c>
      <c r="C18" s="15" t="n">
        <v>0.311</v>
      </c>
    </row>
    <row r="19" customFormat="false" ht="15" hidden="false" customHeight="false" outlineLevel="0" collapsed="false">
      <c r="B19" s="14" t="s">
        <v>28</v>
      </c>
      <c r="C19" s="15" t="n">
        <v>0.00036</v>
      </c>
    </row>
    <row r="38" customFormat="false" ht="15" hidden="false" customHeight="false" outlineLevel="0" collapsed="false">
      <c r="B38" s="11" t="s">
        <v>29</v>
      </c>
      <c r="G38" s="11" t="s">
        <v>30</v>
      </c>
    </row>
    <row r="39" customFormat="false" ht="15" hidden="false" customHeight="false" outlineLevel="0" collapsed="false">
      <c r="B39" s="16" t="s">
        <v>31</v>
      </c>
      <c r="C39" s="16" t="s">
        <v>32</v>
      </c>
      <c r="D39" s="16" t="s">
        <v>33</v>
      </c>
      <c r="G39" s="17" t="s">
        <v>31</v>
      </c>
      <c r="H39" s="17" t="s">
        <v>34</v>
      </c>
      <c r="I39" s="17" t="s">
        <v>35</v>
      </c>
      <c r="J39" s="17" t="s">
        <v>36</v>
      </c>
    </row>
    <row r="40" customFormat="false" ht="15" hidden="false" customHeight="false" outlineLevel="0" collapsed="false">
      <c r="B40" s="14" t="s">
        <v>37</v>
      </c>
      <c r="C40" s="15" t="n">
        <v>1.464</v>
      </c>
      <c r="D40" s="15" t="n">
        <v>0.174</v>
      </c>
      <c r="G40" s="14" t="s">
        <v>37</v>
      </c>
      <c r="H40" s="15" t="n">
        <v>1</v>
      </c>
      <c r="I40" s="15" t="n">
        <v>1</v>
      </c>
      <c r="J40" s="15" t="n">
        <v>1</v>
      </c>
    </row>
    <row r="41" customFormat="false" ht="15" hidden="false" customHeight="false" outlineLevel="0" collapsed="false">
      <c r="B41" s="14" t="s">
        <v>38</v>
      </c>
      <c r="C41" s="15" t="n">
        <v>4.26</v>
      </c>
      <c r="D41" s="15" t="n">
        <v>0.47</v>
      </c>
      <c r="G41" s="14" t="s">
        <v>38</v>
      </c>
      <c r="H41" s="15" t="n">
        <v>0.94</v>
      </c>
      <c r="I41" s="15" t="n">
        <v>1</v>
      </c>
      <c r="J41" s="15" t="n">
        <v>0.97</v>
      </c>
    </row>
    <row r="42" customFormat="false" ht="15" hidden="false" customHeight="false" outlineLevel="0" collapsed="false">
      <c r="B42" s="14" t="s">
        <v>39</v>
      </c>
      <c r="C42" s="15" t="n">
        <v>5.552</v>
      </c>
      <c r="D42" s="15" t="n">
        <v>0.552</v>
      </c>
      <c r="G42" s="14" t="s">
        <v>39</v>
      </c>
      <c r="H42" s="15" t="n">
        <v>1</v>
      </c>
      <c r="I42" s="15" t="n">
        <v>0.93</v>
      </c>
      <c r="J42" s="15" t="n">
        <v>0.97</v>
      </c>
    </row>
  </sheetData>
  <mergeCells count="8">
    <mergeCell ref="B5:C5"/>
    <mergeCell ref="E5:F5"/>
    <mergeCell ref="H5:I5"/>
    <mergeCell ref="K5:L5"/>
    <mergeCell ref="B6:C7"/>
    <mergeCell ref="E6:F7"/>
    <mergeCell ref="H6:I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0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12" t="s">
        <v>12</v>
      </c>
      <c r="B1" s="12" t="s">
        <v>40</v>
      </c>
      <c r="C1" s="12" t="s">
        <v>13</v>
      </c>
    </row>
    <row r="2" customFormat="false" ht="15" hidden="false" customHeight="false" outlineLevel="0" collapsed="false">
      <c r="A2" s="14" t="s">
        <v>41</v>
      </c>
      <c r="B2" s="15" t="s">
        <v>42</v>
      </c>
      <c r="C2" s="15" t="n">
        <v>209</v>
      </c>
    </row>
    <row r="3" customFormat="false" ht="15" hidden="false" customHeight="false" outlineLevel="0" collapsed="false">
      <c r="A3" s="14" t="s">
        <v>17</v>
      </c>
      <c r="B3" s="15" t="s">
        <v>43</v>
      </c>
      <c r="C3" s="15" t="n">
        <v>30.47</v>
      </c>
    </row>
    <row r="4" customFormat="false" ht="15" hidden="false" customHeight="false" outlineLevel="0" collapsed="false">
      <c r="A4" s="14" t="s">
        <v>44</v>
      </c>
      <c r="B4" s="15" t="s">
        <v>45</v>
      </c>
      <c r="C4" s="15" t="n">
        <v>6.33</v>
      </c>
    </row>
    <row r="5" customFormat="false" ht="15" hidden="false" customHeight="false" outlineLevel="0" collapsed="false">
      <c r="A5" s="14" t="s">
        <v>46</v>
      </c>
      <c r="B5" s="15" t="s">
        <v>47</v>
      </c>
      <c r="C5" s="15" t="n">
        <v>28.5</v>
      </c>
    </row>
    <row r="6" customFormat="false" ht="15" hidden="false" customHeight="false" outlineLevel="0" collapsed="false">
      <c r="A6" s="14" t="s">
        <v>48</v>
      </c>
      <c r="B6" s="15" t="s">
        <v>49</v>
      </c>
      <c r="C6" s="15" t="n">
        <v>0.44</v>
      </c>
    </row>
    <row r="7" customFormat="false" ht="15" hidden="false" customHeight="false" outlineLevel="0" collapsed="false">
      <c r="A7" s="14" t="s">
        <v>50</v>
      </c>
      <c r="B7" s="15" t="s">
        <v>51</v>
      </c>
      <c r="C7" s="15" t="n">
        <v>208</v>
      </c>
    </row>
    <row r="8" customFormat="false" ht="15" hidden="false" customHeight="false" outlineLevel="0" collapsed="false">
      <c r="A8" s="14" t="s">
        <v>21</v>
      </c>
      <c r="B8" s="15" t="s">
        <v>52</v>
      </c>
      <c r="C8" s="15" t="n">
        <v>4.503</v>
      </c>
    </row>
    <row r="9" customFormat="false" ht="15" hidden="false" customHeight="false" outlineLevel="0" collapsed="false">
      <c r="A9" s="14" t="s">
        <v>53</v>
      </c>
      <c r="B9" s="15" t="s">
        <v>54</v>
      </c>
      <c r="C9" s="15" t="n">
        <v>1.971</v>
      </c>
    </row>
    <row r="10" customFormat="false" ht="15" hidden="false" customHeight="false" outlineLevel="0" collapsed="false">
      <c r="A10" s="14" t="s">
        <v>55</v>
      </c>
      <c r="B10" s="15" t="s">
        <v>56</v>
      </c>
      <c r="C10" s="15" t="n">
        <v>0.863</v>
      </c>
    </row>
    <row r="11" customFormat="false" ht="15" hidden="false" customHeight="false" outlineLevel="0" collapsed="false">
      <c r="A11" s="14" t="s">
        <v>25</v>
      </c>
      <c r="B11" s="15"/>
      <c r="C11" s="15" t="n">
        <v>29.61</v>
      </c>
    </row>
    <row r="12" customFormat="false" ht="15" hidden="false" customHeight="false" outlineLevel="0" collapsed="false">
      <c r="A12" s="14" t="s">
        <v>26</v>
      </c>
      <c r="B12" s="15"/>
      <c r="C12" s="15" t="n">
        <v>31.33</v>
      </c>
    </row>
    <row r="13" customFormat="false" ht="15" hidden="false" customHeight="false" outlineLevel="0" collapsed="false">
      <c r="A13" s="14" t="s">
        <v>57</v>
      </c>
      <c r="B13" s="15"/>
      <c r="C13" s="15" t="s">
        <v>58</v>
      </c>
    </row>
    <row r="14" customFormat="false" ht="15" hidden="false" customHeight="false" outlineLevel="0" collapsed="false">
      <c r="A14" s="14" t="s">
        <v>59</v>
      </c>
      <c r="B14" s="15" t="s">
        <v>60</v>
      </c>
      <c r="C14" s="15" t="n">
        <v>0.9564</v>
      </c>
    </row>
    <row r="15" customFormat="false" ht="15" hidden="false" customHeight="false" outlineLevel="0" collapsed="false">
      <c r="A15" s="14" t="s">
        <v>61</v>
      </c>
      <c r="B15" s="15" t="s">
        <v>62</v>
      </c>
      <c r="C15" s="15" t="s">
        <v>63</v>
      </c>
    </row>
    <row r="16" customFormat="false" ht="15" hidden="false" customHeight="false" outlineLevel="0" collapsed="false">
      <c r="A16" s="14" t="s">
        <v>64</v>
      </c>
      <c r="B16" s="15" t="s">
        <v>65</v>
      </c>
      <c r="C16" s="15" t="n">
        <v>0.311</v>
      </c>
    </row>
    <row r="17" customFormat="false" ht="15" hidden="false" customHeight="false" outlineLevel="0" collapsed="false">
      <c r="A17" s="14" t="s">
        <v>66</v>
      </c>
      <c r="B17" s="15" t="s">
        <v>62</v>
      </c>
      <c r="C17" s="15" t="s">
        <v>67</v>
      </c>
    </row>
    <row r="18" customFormat="false" ht="15" hidden="false" customHeight="false" outlineLevel="0" collapsed="false">
      <c r="A18" s="14" t="s">
        <v>68</v>
      </c>
      <c r="B18" s="15"/>
      <c r="C18" s="15" t="n">
        <v>29.63</v>
      </c>
    </row>
    <row r="19" customFormat="false" ht="15" hidden="false" customHeight="false" outlineLevel="0" collapsed="false">
      <c r="A19" s="14" t="s">
        <v>69</v>
      </c>
      <c r="B19" s="15"/>
      <c r="C19" s="15" t="n">
        <v>31.33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13" t="s">
        <v>14</v>
      </c>
      <c r="B1" s="13" t="s">
        <v>15</v>
      </c>
      <c r="C1" s="13" t="s">
        <v>70</v>
      </c>
      <c r="D1" s="13" t="s">
        <v>52</v>
      </c>
      <c r="E1" s="13" t="s">
        <v>16</v>
      </c>
      <c r="F1" s="13" t="s">
        <v>71</v>
      </c>
    </row>
    <row r="2" customFormat="false" ht="15" hidden="false" customHeight="false" outlineLevel="0" collapsed="false">
      <c r="A2" s="14" t="s">
        <v>18</v>
      </c>
      <c r="B2" s="15" t="n">
        <v>4.6251</v>
      </c>
      <c r="C2" s="15" t="n">
        <v>0.308</v>
      </c>
      <c r="D2" s="15" t="n">
        <v>15.041</v>
      </c>
      <c r="E2" s="15" t="s">
        <v>6</v>
      </c>
      <c r="F2" s="15" t="s">
        <v>72</v>
      </c>
    </row>
    <row r="3" customFormat="false" ht="15" hidden="false" customHeight="false" outlineLevel="0" collapsed="false">
      <c r="A3" s="14" t="s">
        <v>20</v>
      </c>
      <c r="B3" s="15" t="n">
        <v>0.0544</v>
      </c>
      <c r="C3" s="15" t="n">
        <v>0.001</v>
      </c>
      <c r="D3" s="15" t="n">
        <v>39.592</v>
      </c>
      <c r="E3" s="15" t="s">
        <v>6</v>
      </c>
      <c r="F3" s="15" t="s">
        <v>73</v>
      </c>
    </row>
    <row r="4" customFormat="false" ht="15" hidden="false" customHeight="false" outlineLevel="0" collapsed="false">
      <c r="A4" s="14" t="s">
        <v>22</v>
      </c>
      <c r="B4" s="15" t="n">
        <v>0.107</v>
      </c>
      <c r="C4" s="15" t="n">
        <v>0.008</v>
      </c>
      <c r="D4" s="15" t="n">
        <v>12.604</v>
      </c>
      <c r="E4" s="15" t="s">
        <v>6</v>
      </c>
      <c r="F4" s="15" t="s">
        <v>74</v>
      </c>
    </row>
    <row r="5" customFormat="false" ht="15" hidden="false" customHeight="false" outlineLevel="0" collapsed="false">
      <c r="A5" s="14" t="s">
        <v>24</v>
      </c>
      <c r="B5" s="15" t="n">
        <v>0.0003</v>
      </c>
      <c r="C5" s="15" t="n">
        <v>0.006</v>
      </c>
      <c r="D5" s="15" t="n">
        <v>0.058</v>
      </c>
      <c r="E5" s="15" t="n">
        <v>0.954</v>
      </c>
      <c r="F5" s="15" t="s">
        <v>75</v>
      </c>
    </row>
    <row r="7" customFormat="false" ht="15" hidden="false" customHeight="false" outlineLevel="0" collapsed="false">
      <c r="A7" s="18" t="s">
        <v>76</v>
      </c>
    </row>
    <row r="8" customFormat="false" ht="15" hidden="false" customHeight="false" outlineLevel="0" collapsed="false">
      <c r="A8" s="13" t="s">
        <v>12</v>
      </c>
      <c r="B8" s="13" t="s">
        <v>13</v>
      </c>
    </row>
    <row r="9" customFormat="false" ht="15" hidden="false" customHeight="false" outlineLevel="0" collapsed="false">
      <c r="A9" s="14" t="s">
        <v>77</v>
      </c>
      <c r="B9" s="15" t="n">
        <v>0.903</v>
      </c>
    </row>
    <row r="10" customFormat="false" ht="15" hidden="false" customHeight="false" outlineLevel="0" collapsed="false">
      <c r="A10" s="14" t="s">
        <v>78</v>
      </c>
      <c r="B10" s="15" t="n">
        <v>0.901</v>
      </c>
    </row>
    <row r="11" customFormat="false" ht="15" hidden="false" customHeight="false" outlineLevel="0" collapsed="false">
      <c r="A11" s="14" t="s">
        <v>79</v>
      </c>
      <c r="B11" s="15" t="n">
        <v>605.4</v>
      </c>
    </row>
    <row r="12" customFormat="false" ht="15" hidden="false" customHeight="false" outlineLevel="0" collapsed="false">
      <c r="A12" s="14" t="s">
        <v>80</v>
      </c>
      <c r="B12" s="15" t="s">
        <v>81</v>
      </c>
    </row>
    <row r="13" customFormat="false" ht="15" hidden="false" customHeight="false" outlineLevel="0" collapsed="false">
      <c r="A13" s="14" t="s">
        <v>82</v>
      </c>
      <c r="B13" s="15" t="n">
        <v>2.487</v>
      </c>
    </row>
    <row r="14" customFormat="false" ht="15" hidden="false" customHeight="false" outlineLevel="0" collapsed="false">
      <c r="A14" s="14" t="s">
        <v>83</v>
      </c>
      <c r="B14" s="15" t="n">
        <v>3.285</v>
      </c>
    </row>
    <row r="15" customFormat="false" ht="15" hidden="false" customHeight="false" outlineLevel="0" collapsed="false">
      <c r="A15" s="14" t="s">
        <v>84</v>
      </c>
      <c r="B15" s="15" t="n">
        <v>3.055</v>
      </c>
    </row>
    <row r="16" customFormat="false" ht="15" hidden="false" customHeight="false" outlineLevel="0" collapsed="false">
      <c r="A16" s="14" t="s">
        <v>85</v>
      </c>
      <c r="B16" s="15" t="n">
        <v>0.0016</v>
      </c>
    </row>
    <row r="17" customFormat="false" ht="15" hidden="false" customHeight="false" outlineLevel="0" collapsed="false">
      <c r="A17" s="14" t="s">
        <v>86</v>
      </c>
      <c r="B17" s="15" t="n">
        <v>0.2638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6" t="s">
        <v>31</v>
      </c>
      <c r="B1" s="16" t="s">
        <v>42</v>
      </c>
      <c r="C1" s="16" t="s">
        <v>32</v>
      </c>
      <c r="D1" s="16" t="s">
        <v>33</v>
      </c>
    </row>
    <row r="2" customFormat="false" ht="15" hidden="false" customHeight="false" outlineLevel="0" collapsed="false">
      <c r="A2" s="14" t="s">
        <v>37</v>
      </c>
      <c r="B2" s="15" t="n">
        <v>50</v>
      </c>
      <c r="C2" s="15" t="n">
        <v>1.464</v>
      </c>
      <c r="D2" s="15" t="n">
        <v>0.174</v>
      </c>
    </row>
    <row r="3" customFormat="false" ht="15" hidden="false" customHeight="false" outlineLevel="0" collapsed="false">
      <c r="A3" s="14" t="s">
        <v>38</v>
      </c>
      <c r="B3" s="15" t="n">
        <v>50</v>
      </c>
      <c r="C3" s="15" t="n">
        <v>4.26</v>
      </c>
      <c r="D3" s="15" t="n">
        <v>0.47</v>
      </c>
    </row>
    <row r="4" customFormat="false" ht="15" hidden="false" customHeight="false" outlineLevel="0" collapsed="false">
      <c r="A4" s="14" t="s">
        <v>39</v>
      </c>
      <c r="B4" s="15" t="n">
        <v>50</v>
      </c>
      <c r="C4" s="15" t="n">
        <v>5.552</v>
      </c>
      <c r="D4" s="15" t="n">
        <v>0.552</v>
      </c>
    </row>
    <row r="6" customFormat="false" ht="15" hidden="false" customHeight="false" outlineLevel="0" collapsed="false">
      <c r="A6" s="18" t="s">
        <v>87</v>
      </c>
    </row>
    <row r="7" customFormat="false" ht="15" hidden="false" customHeight="false" outlineLevel="0" collapsed="false">
      <c r="A7" s="16" t="s">
        <v>88</v>
      </c>
      <c r="B7" s="16" t="s">
        <v>89</v>
      </c>
      <c r="C7" s="16" t="s">
        <v>16</v>
      </c>
      <c r="D7" s="16" t="s">
        <v>90</v>
      </c>
    </row>
    <row r="8" customFormat="false" ht="15" hidden="false" customHeight="false" outlineLevel="0" collapsed="false">
      <c r="A8" s="14" t="s">
        <v>91</v>
      </c>
      <c r="B8" s="15" t="s">
        <v>92</v>
      </c>
      <c r="C8" s="15" t="s">
        <v>93</v>
      </c>
      <c r="D8" s="15" t="s">
        <v>58</v>
      </c>
    </row>
    <row r="9" customFormat="false" ht="15" hidden="false" customHeight="false" outlineLevel="0" collapsed="false">
      <c r="A9" s="14" t="s">
        <v>94</v>
      </c>
      <c r="B9" s="15" t="s">
        <v>95</v>
      </c>
      <c r="C9" s="15" t="s">
        <v>96</v>
      </c>
      <c r="D9" s="15" t="s">
        <v>58</v>
      </c>
    </row>
    <row r="10" customFormat="false" ht="15" hidden="false" customHeight="false" outlineLevel="0" collapsed="false">
      <c r="A10" s="14" t="s">
        <v>97</v>
      </c>
      <c r="B10" s="15" t="s">
        <v>98</v>
      </c>
      <c r="C10" s="15" t="s">
        <v>99</v>
      </c>
      <c r="D10" s="15" t="s">
        <v>58</v>
      </c>
    </row>
    <row r="11" customFormat="false" ht="15" hidden="false" customHeight="false" outlineLevel="0" collapsed="false">
      <c r="A11" s="14" t="s">
        <v>100</v>
      </c>
      <c r="B11" s="15" t="s">
        <v>101</v>
      </c>
      <c r="C11" s="15" t="s">
        <v>102</v>
      </c>
      <c r="D11" s="15" t="s">
        <v>103</v>
      </c>
    </row>
    <row r="13" customFormat="false" ht="15" hidden="false" customHeight="false" outlineLevel="0" collapsed="false">
      <c r="A13" s="19" t="s">
        <v>104</v>
      </c>
    </row>
    <row r="15" customFormat="false" ht="15" hidden="false" customHeight="false" outlineLevel="0" collapsed="false">
      <c r="A15" s="18" t="s">
        <v>105</v>
      </c>
    </row>
    <row r="16" customFormat="false" ht="15" hidden="false" customHeight="false" outlineLevel="0" collapsed="false">
      <c r="A16" s="17" t="s">
        <v>31</v>
      </c>
      <c r="B16" s="17" t="s">
        <v>34</v>
      </c>
      <c r="C16" s="17" t="s">
        <v>35</v>
      </c>
      <c r="D16" s="17" t="s">
        <v>106</v>
      </c>
      <c r="E16" s="17" t="s">
        <v>107</v>
      </c>
    </row>
    <row r="17" customFormat="false" ht="15" hidden="false" customHeight="false" outlineLevel="0" collapsed="false">
      <c r="A17" s="14" t="s">
        <v>37</v>
      </c>
      <c r="B17" s="15" t="n">
        <v>1</v>
      </c>
      <c r="C17" s="15" t="n">
        <v>1</v>
      </c>
      <c r="D17" s="15" t="n">
        <v>1</v>
      </c>
      <c r="E17" s="15" t="n">
        <v>15</v>
      </c>
    </row>
    <row r="18" customFormat="false" ht="15" hidden="false" customHeight="false" outlineLevel="0" collapsed="false">
      <c r="A18" s="14" t="s">
        <v>38</v>
      </c>
      <c r="B18" s="15" t="n">
        <v>0.94</v>
      </c>
      <c r="C18" s="15" t="n">
        <v>1</v>
      </c>
      <c r="D18" s="15" t="n">
        <v>0.97</v>
      </c>
      <c r="E18" s="15" t="n">
        <v>15</v>
      </c>
    </row>
    <row r="19" customFormat="false" ht="15" hidden="false" customHeight="false" outlineLevel="0" collapsed="false">
      <c r="A19" s="14" t="s">
        <v>39</v>
      </c>
      <c r="B19" s="15" t="n">
        <v>1</v>
      </c>
      <c r="C19" s="15" t="n">
        <v>0.93</v>
      </c>
      <c r="D19" s="15" t="n">
        <v>0.97</v>
      </c>
      <c r="E19" s="15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2026-08-17T18:08:44Z</dcterms:created>
  <dc:creator>openpyxl</dc:creator>
  <dc:description/>
  <dc:language>en-US</dc:language>
  <cp:lastModifiedBy/>
  <dcterms:modified xsi:type="dcterms:W3CDTF">2026-08-17T23:38:46Z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